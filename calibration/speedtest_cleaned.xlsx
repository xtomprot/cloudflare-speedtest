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tomas/projects/cloudflare-speedtest/calibration/"/>
    </mc:Choice>
  </mc:AlternateContent>
  <xr:revisionPtr revIDLastSave="0" documentId="8_missing-docid_{644B7EDC-B9F6-CF4F-9652-8C4672D0EA0D}" xr6:coauthVersionLast="47" xr6:coauthVersionMax="47" xr10:uidLastSave="{00000000-0000-0000-0000-000000000000}"/>
  <bookViews>
    <workbookView xWindow="-4200" yWindow="-21600" windowWidth="38400" windowHeight="21600" xr2:uid="{1C0EADCA-4134-0D47-A5A8-4212A139153D}"/>
  </bookViews>
  <sheets>
    <sheet name="speedtest_cleaned" sheetId="1" r:id="rId1"/>
  </sheets>
  <definedNames>
    <definedName name="_xlnm._FilterDatabase" localSheetId="0" hidden="1">speedtest_cleaned!$U$2:$X$2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X6" i="1" l="1" a="1"/>
  <c r="X6" i="1" s="1"/>
  <c r="W6" i="1" a="1"/>
  <c r="W6" i="1" s="1"/>
  <c r="V6" i="1"/>
  <c r="X5" i="1" a="1"/>
  <c r="X5" i="1" s="1"/>
  <c r="W5" i="1" a="1"/>
  <c r="W5" i="1" s="1"/>
  <c r="V5" i="1"/>
  <c r="X3" i="1" a="1"/>
  <c r="X3" i="1" s="1"/>
  <c r="W3" i="1" a="1"/>
  <c r="W3" i="1" s="1"/>
  <c r="V3" i="1"/>
  <c r="X4" i="1" a="1"/>
  <c r="X4" i="1" s="1"/>
  <c r="W4" i="1" a="1"/>
  <c r="W4" i="1" s="1"/>
  <c r="V4" i="1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<sst xmlns="http://purl.oclc.org/ooxml/spreadsheetml/main" count="263" uniqueCount="79">
  <si>
    <t>Tariff</t>
  </si>
  <si>
    <t>Technology</t>
  </si>
  <si>
    <t>Connection_Type</t>
  </si>
  <si>
    <t>TMobile_Download_Mbps</t>
  </si>
  <si>
    <t>TMobile_Upload_Mbps</t>
  </si>
  <si>
    <t>TMobile_Ping_ms</t>
  </si>
  <si>
    <t>TMobile_Jitter_ms</t>
  </si>
  <si>
    <t>Competitor</t>
  </si>
  <si>
    <t>Competitor_Download_Mbps</t>
  </si>
  <si>
    <t>Competitor_Upload_Mbps</t>
  </si>
  <si>
    <t>Competitor_Ping_ms</t>
  </si>
  <si>
    <t>Competitor_Jitter_ms</t>
  </si>
  <si>
    <t>Submitter</t>
  </si>
  <si>
    <t>Notes</t>
  </si>
  <si>
    <t>down_delta</t>
  </si>
  <si>
    <t>up_delta</t>
  </si>
  <si>
    <t>percent_diff_down</t>
  </si>
  <si>
    <t>percent_diff_up</t>
  </si>
  <si>
    <t>i200 (20/10Mbps)</t>
  </si>
  <si>
    <t>FWA</t>
  </si>
  <si>
    <t>Rychlost.cz</t>
  </si>
  <si>
    <t>Jirka Neumann</t>
  </si>
  <si>
    <t>dsl.cz</t>
  </si>
  <si>
    <t>Cloudflare</t>
  </si>
  <si>
    <t>Optika (FTTH/FTTx)</t>
  </si>
  <si>
    <t>Míra Slusarčík</t>
  </si>
  <si>
    <t>no FUP defined</t>
  </si>
  <si>
    <t>Pavel Balcar</t>
  </si>
  <si>
    <t>MMO 100/20</t>
  </si>
  <si>
    <t>xDSL</t>
  </si>
  <si>
    <t>WiFi+VPN</t>
  </si>
  <si>
    <t>Ookla</t>
  </si>
  <si>
    <t>Tomáš Protiva</t>
  </si>
  <si>
    <t>Vodafone</t>
  </si>
  <si>
    <t>WiFi</t>
  </si>
  <si>
    <t>n/a</t>
  </si>
  <si>
    <t>Parallel run with Ookla and CTU</t>
  </si>
  <si>
    <t>CTU</t>
  </si>
  <si>
    <t>LAN</t>
  </si>
  <si>
    <t>Bezdrát 100 bez VPN</t>
  </si>
  <si>
    <t>Mirka</t>
  </si>
  <si>
    <t>na Wi-Fi</t>
  </si>
  <si>
    <t>Nevím</t>
  </si>
  <si>
    <t>Bezdrát 100 s VPN</t>
  </si>
  <si>
    <t>VPN</t>
  </si>
  <si>
    <t>mobilní data</t>
  </si>
  <si>
    <t>Mobilní data (5G/LTE)</t>
  </si>
  <si>
    <t>Bezdrát 50 bez VPN</t>
  </si>
  <si>
    <t>Fiber 250 s VPN</t>
  </si>
  <si>
    <t>speedtest.net</t>
  </si>
  <si>
    <t>Michal Bečka</t>
  </si>
  <si>
    <t>1000 Mb</t>
  </si>
  <si>
    <t>Daniela</t>
  </si>
  <si>
    <t>600 Mbps</t>
  </si>
  <si>
    <t>Le Berdychová</t>
  </si>
  <si>
    <t>100 DSL s VPN</t>
  </si>
  <si>
    <t>Tonda</t>
  </si>
  <si>
    <t>100 DSL bez VPN</t>
  </si>
  <si>
    <t>Bezdrát 50 s VPN</t>
  </si>
  <si>
    <t>Mean Average Error</t>
  </si>
  <si>
    <t>Average percentage deviation</t>
  </si>
  <si>
    <t>Count</t>
  </si>
  <si>
    <t>MAE Download</t>
  </si>
  <si>
    <t>MAE Upload</t>
  </si>
  <si>
    <t>Střední absolutní chyba</t>
  </si>
  <si>
    <r>
      <t>Střední absolutní chyba (MAE)</t>
    </r>
    <r>
      <rPr>
        <sz val="13"/>
        <color rgb="FFBFBFBF"/>
        <rFont val="Arial"/>
        <family val="2"/>
      </rPr>
      <t xml:space="preserve"> je jednoduchá metrika, která říká: </t>
    </r>
    <r>
      <rPr>
        <b/>
        <sz val="13"/>
        <color rgb="FFBFBFBF"/>
        <rFont val="Arial"/>
        <family val="2"/>
      </rPr>
      <t>"O kolik se v průměru liší naše měření od měření konkurence?"</t>
    </r>
  </si>
  <si>
    <t>Jak se počítá?</t>
  </si>
  <si>
    <t>Vezmeš každý rozdíl mezi T-Mobile speedtestem a konkurencí (down_delta)</t>
  </si>
  <si>
    <r>
      <t>Všechny rozdíly převedeš na </t>
    </r>
    <r>
      <rPr>
        <b/>
        <sz val="13"/>
        <color rgb="FFBFBFBF"/>
        <rFont val="Arial"/>
        <family val="2"/>
      </rPr>
      <t>kladná čísla</t>
    </r>
    <r>
      <rPr>
        <sz val="13"/>
        <color rgb="FFBFBFBF"/>
        <rFont val="Arial"/>
        <family val="2"/>
      </rPr>
      <t> (ignoruješ znaménko + nebo -)</t>
    </r>
  </si>
  <si>
    <r>
      <t>Spočítáš </t>
    </r>
    <r>
      <rPr>
        <b/>
        <sz val="13"/>
        <color rgb="FFBFBFBF"/>
        <rFont val="Arial"/>
        <family val="2"/>
      </rPr>
      <t>průměr</t>
    </r>
    <r>
      <rPr>
        <sz val="13"/>
        <color rgb="FFBFBFBF"/>
        <rFont val="Arial"/>
        <family val="2"/>
      </rPr>
      <t> těchto absolutních rozdílů</t>
    </r>
  </si>
  <si>
    <t>Jak interpretovat:</t>
  </si>
  <si>
    <r>
      <t>MAE = 5 Mbps</t>
    </r>
    <r>
      <rPr>
        <sz val="13"/>
        <color rgb="FFBFBFBF"/>
        <rFont val="Arial"/>
        <family val="2"/>
      </rPr>
      <t> → Výborná shoda, testy jsou velmi konzistentní</t>
    </r>
  </si>
  <si>
    <r>
      <t>MAE = 15 Mbps</t>
    </r>
    <r>
      <rPr>
        <sz val="13"/>
        <color rgb="FFBFBFBF"/>
        <rFont val="Arial"/>
        <family val="2"/>
      </rPr>
      <t> → Přijatelná odchylka, běžné měřicí rozdíly</t>
    </r>
  </si>
  <si>
    <r>
      <t>MAE = 50+ Mbps</t>
    </r>
    <r>
      <rPr>
        <sz val="13"/>
        <color rgb="FFBFBFBF"/>
        <rFont val="Arial"/>
        <family val="2"/>
      </rPr>
      <t> → Velké rozdíly, nutno zjistit příčinu</t>
    </r>
  </si>
  <si>
    <t>Pro vaše data:</t>
  </si>
  <si>
    <r>
      <t xml:space="preserve">Doporučuju spočítat MAE </t>
    </r>
    <r>
      <rPr>
        <b/>
        <sz val="13"/>
        <color rgb="FFBFBFBF"/>
        <rFont val="Arial"/>
        <family val="2"/>
      </rPr>
      <t>zvlášť pro každou technologii</t>
    </r>
    <r>
      <rPr>
        <sz val="13"/>
        <color rgb="FFBFBFBF"/>
        <rFont val="Arial"/>
        <family val="2"/>
      </rPr>
      <t>, protože:</t>
    </r>
  </si>
  <si>
    <t>U DSL (100 Mbps) by měly být rozdíly menší</t>
  </si>
  <si>
    <t>U optiky (500+ Mbps)  větší absolutní rozdíl</t>
  </si>
  <si>
    <t>Zdroje pro AI i pro mě např. https://is.muni.cz/el/1431/podzim2006/Z0069/um/Statistika_8_casove_rady.pdf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</si>
</sst>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3"/>
      <color rgb="FFBFBFBF"/>
      <name val="Arial"/>
      <family val="2"/>
    </font>
    <font>
      <sz val="13"/>
      <color rgb="FFBFBFBF"/>
      <name val="Arial"/>
      <family val="2"/>
    </font>
    <font>
      <b/>
      <sz val="12"/>
      <color theme="1"/>
      <name val="Aptos Narrow"/>
      <scheme val="minor"/>
    </font>
    <font>
      <b/>
      <sz val="18"/>
      <color rgb="FFBFBFB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168" fontId="0" fillId="0" borderId="0" xfId="0" applyNumberForma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eetMetadata" Target="metadata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0A53-F9EA-C745-86F5-988A708901B9}">
  <dimension ref="A1:X52"/>
  <sheetViews>
    <sheetView tabSelected="1" workbookViewId="0">
      <selection activeCell="W26" sqref="W26"/>
    </sheetView>
  </sheetViews>
  <sheetFormatPr baseColWidth="10" defaultRowHeight="16" x14ac:dyDescent="0.2"/>
  <cols>
    <col min="21" max="21" width="50.6640625" bestFit="1" customWidth="1"/>
    <col min="22" max="22" width="9.6640625" bestFit="1" customWidth="1"/>
    <col min="23" max="23" width="17.1640625" bestFit="1" customWidth="1"/>
    <col min="24" max="24" width="14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3" t="s">
        <v>64</v>
      </c>
    </row>
    <row r="2" spans="1:24" x14ac:dyDescent="0.2">
      <c r="A2" t="s">
        <v>18</v>
      </c>
      <c r="B2" t="s">
        <v>19</v>
      </c>
      <c r="D2">
        <v>23.2</v>
      </c>
      <c r="E2">
        <v>6.28</v>
      </c>
      <c r="H2" t="s">
        <v>20</v>
      </c>
      <c r="I2">
        <v>9.48</v>
      </c>
      <c r="J2">
        <v>4.2300000000000004</v>
      </c>
      <c r="M2" t="s">
        <v>21</v>
      </c>
      <c r="O2">
        <v>13.72</v>
      </c>
      <c r="P2">
        <v>2.0499999999999998</v>
      </c>
      <c r="Q2">
        <v>144.72573840000001</v>
      </c>
      <c r="R2">
        <v>48.46335697</v>
      </c>
      <c r="U2" s="3" t="s">
        <v>1</v>
      </c>
      <c r="V2" s="3" t="s">
        <v>61</v>
      </c>
      <c r="W2" s="3" t="s">
        <v>62</v>
      </c>
      <c r="X2" s="3" t="s">
        <v>63</v>
      </c>
    </row>
    <row r="3" spans="1:24" x14ac:dyDescent="0.2">
      <c r="A3" t="s">
        <v>18</v>
      </c>
      <c r="B3" t="s">
        <v>19</v>
      </c>
      <c r="D3">
        <v>23.2</v>
      </c>
      <c r="E3">
        <v>6.28</v>
      </c>
      <c r="H3" t="s">
        <v>22</v>
      </c>
      <c r="I3">
        <v>3.9</v>
      </c>
      <c r="J3">
        <v>1.51</v>
      </c>
      <c r="M3" t="s">
        <v>21</v>
      </c>
      <c r="O3">
        <v>19.3</v>
      </c>
      <c r="P3">
        <v>4.7699999999999996</v>
      </c>
      <c r="Q3">
        <v>494.8717949</v>
      </c>
      <c r="R3">
        <v>315.89403970000001</v>
      </c>
      <c r="U3" t="s">
        <v>29</v>
      </c>
      <c r="V3">
        <f>COUNTIF($B$2:$B$49,"xDSL")</f>
        <v>22</v>
      </c>
      <c r="W3" s="4" cm="1">
        <f t="array" ref="W3">SUMPRODUCT(ABS($O$2:$O$49)*($B$2:$B$49="xDSL"))/COUNTIF($B$2:$B$49,"xDSL")</f>
        <v>18.529999999999998</v>
      </c>
      <c r="X3" s="4" cm="1">
        <f t="array" ref="X3">SUMPRODUCT(ABS($P$2:$P$49)*($B$2:$B$49="xDSL"))/COUNTIF($B$2:$B$49,"xDSL")</f>
        <v>3.7181818181818183</v>
      </c>
    </row>
    <row r="4" spans="1:24" x14ac:dyDescent="0.2">
      <c r="A4" t="s">
        <v>18</v>
      </c>
      <c r="B4" t="s">
        <v>19</v>
      </c>
      <c r="D4">
        <v>23.2</v>
      </c>
      <c r="E4">
        <v>6.28</v>
      </c>
      <c r="H4" t="s">
        <v>23</v>
      </c>
      <c r="I4">
        <v>23.2</v>
      </c>
      <c r="J4">
        <v>22.1</v>
      </c>
      <c r="M4" t="s">
        <v>21</v>
      </c>
      <c r="O4">
        <v>0</v>
      </c>
      <c r="P4">
        <v>-15.82</v>
      </c>
      <c r="Q4">
        <v>0</v>
      </c>
      <c r="R4">
        <v>-71.583710409999995</v>
      </c>
      <c r="U4" t="s">
        <v>19</v>
      </c>
      <c r="V4">
        <f>COUNTIF($B$2:$B$49,"FWA")</f>
        <v>15</v>
      </c>
      <c r="W4" s="4" cm="1">
        <f t="array" ref="W4">SUMPRODUCT(ABS($O$2:$O$49)*($B$2:$B$49="FWA"))/COUNTIF($B$2:$B$49,"FWA")</f>
        <v>37.186666666666675</v>
      </c>
      <c r="X4" s="4" cm="1">
        <f t="array" ref="X4">SUMPRODUCT(ABS($P$2:$P$49)*($B$2:$B$49="FWA"))/COUNTIF($B$2:$B$49,"FWA")</f>
        <v>13.929333333333336</v>
      </c>
    </row>
    <row r="5" spans="1:24" x14ac:dyDescent="0.2">
      <c r="B5" t="s">
        <v>24</v>
      </c>
      <c r="D5">
        <v>522</v>
      </c>
      <c r="E5">
        <v>325</v>
      </c>
      <c r="H5" t="s">
        <v>20</v>
      </c>
      <c r="I5">
        <v>537</v>
      </c>
      <c r="J5">
        <v>403</v>
      </c>
      <c r="M5" t="s">
        <v>25</v>
      </c>
      <c r="O5">
        <v>-15</v>
      </c>
      <c r="P5">
        <v>-78</v>
      </c>
      <c r="Q5">
        <v>-2.793296089</v>
      </c>
      <c r="R5">
        <v>-19.354838709999999</v>
      </c>
      <c r="U5" t="s">
        <v>24</v>
      </c>
      <c r="V5">
        <f>COUNTIF($B$2:$B$49,"Optika (FTTH/FTTx)")</f>
        <v>7</v>
      </c>
      <c r="W5" s="4" cm="1">
        <f t="array" ref="W5">SUMPRODUCT(ABS($O$2:$O$49)*($B$2:$B$49="Optika (FTTH/FTTx)"))/COUNTIF($B$2:$B$49,"Optika (FTTH/FTTx)")</f>
        <v>27.147142857142857</v>
      </c>
      <c r="X5" s="4" cm="1">
        <f t="array" ref="X5">SUMPRODUCT(ABS($P$2:$P$49)*($B$2:$B$49="Optika (FTTH/FTTx)"))/COUNTIF($B$2:$B$49,"Optika (FTTH/FTTx)")</f>
        <v>52.721428571428568</v>
      </c>
    </row>
    <row r="6" spans="1:24" x14ac:dyDescent="0.2">
      <c r="B6" t="s">
        <v>24</v>
      </c>
      <c r="D6">
        <v>522</v>
      </c>
      <c r="E6">
        <v>325</v>
      </c>
      <c r="H6" t="s">
        <v>23</v>
      </c>
      <c r="I6">
        <v>504</v>
      </c>
      <c r="J6">
        <v>351</v>
      </c>
      <c r="M6" t="s">
        <v>25</v>
      </c>
      <c r="O6">
        <v>18</v>
      </c>
      <c r="P6">
        <v>-26</v>
      </c>
      <c r="Q6">
        <v>3.5714285710000002</v>
      </c>
      <c r="R6">
        <v>-7.407407407</v>
      </c>
      <c r="U6" t="s">
        <v>46</v>
      </c>
      <c r="V6">
        <f>COUNTIF($B$2:$B$49,"Mobilní data (5G/LTE)")</f>
        <v>2</v>
      </c>
      <c r="W6" s="4" cm="1">
        <f t="array" ref="W6">SUMPRODUCT(ABS($O$2:$O$49)*($B$2:$B$49="Mobilní data (5G/LTE)"))/COUNTIF($B$2:$B$49,"Mobilní data (5G/LTE)")</f>
        <v>20.86</v>
      </c>
      <c r="X6" s="4" cm="1">
        <f t="array" ref="X6">SUMPRODUCT(ABS($P$2:$P$49)*($B$2:$B$49="Mobilní data (5G/LTE)"))/COUNTIF($B$2:$B$49,"Mobilní data (5G/LTE)")</f>
        <v>8.625</v>
      </c>
    </row>
    <row r="7" spans="1:24" ht="17" x14ac:dyDescent="0.2">
      <c r="A7" t="s">
        <v>26</v>
      </c>
      <c r="B7" t="s">
        <v>19</v>
      </c>
      <c r="D7">
        <v>145</v>
      </c>
      <c r="E7">
        <v>120</v>
      </c>
      <c r="F7">
        <v>29</v>
      </c>
      <c r="H7" t="s">
        <v>20</v>
      </c>
      <c r="I7">
        <v>126</v>
      </c>
      <c r="J7">
        <v>153</v>
      </c>
      <c r="K7">
        <v>9</v>
      </c>
      <c r="M7" t="s">
        <v>27</v>
      </c>
      <c r="O7">
        <v>19</v>
      </c>
      <c r="P7">
        <v>-33</v>
      </c>
      <c r="Q7">
        <v>15.079365080000001</v>
      </c>
      <c r="R7">
        <v>-21.568627450000001</v>
      </c>
      <c r="U7" s="2"/>
      <c r="V7" s="2"/>
      <c r="W7" s="2"/>
      <c r="X7" s="2"/>
    </row>
    <row r="8" spans="1:24" ht="17" x14ac:dyDescent="0.2">
      <c r="A8" t="s">
        <v>28</v>
      </c>
      <c r="B8" t="s">
        <v>29</v>
      </c>
      <c r="C8" t="s">
        <v>30</v>
      </c>
      <c r="D8">
        <v>84</v>
      </c>
      <c r="E8">
        <v>24</v>
      </c>
      <c r="F8">
        <v>36</v>
      </c>
      <c r="H8" t="s">
        <v>31</v>
      </c>
      <c r="I8">
        <v>64</v>
      </c>
      <c r="J8">
        <v>25</v>
      </c>
      <c r="K8">
        <v>17</v>
      </c>
      <c r="M8" t="s">
        <v>32</v>
      </c>
      <c r="O8">
        <v>20</v>
      </c>
      <c r="P8">
        <v>-1</v>
      </c>
      <c r="Q8">
        <v>31.25</v>
      </c>
      <c r="R8">
        <v>-4</v>
      </c>
      <c r="U8" s="2"/>
    </row>
    <row r="9" spans="1:24" ht="17" x14ac:dyDescent="0.2">
      <c r="A9" t="s">
        <v>28</v>
      </c>
      <c r="B9" t="s">
        <v>29</v>
      </c>
      <c r="C9" t="s">
        <v>30</v>
      </c>
      <c r="D9">
        <v>84</v>
      </c>
      <c r="E9">
        <v>24</v>
      </c>
      <c r="F9">
        <v>36</v>
      </c>
      <c r="H9" t="s">
        <v>33</v>
      </c>
      <c r="I9">
        <v>26</v>
      </c>
      <c r="J9">
        <v>22</v>
      </c>
      <c r="M9" t="s">
        <v>32</v>
      </c>
      <c r="O9">
        <v>58</v>
      </c>
      <c r="P9">
        <v>2</v>
      </c>
      <c r="Q9">
        <v>223.07692309999999</v>
      </c>
      <c r="R9">
        <v>9.0909090910000003</v>
      </c>
      <c r="U9" s="1" t="s">
        <v>65</v>
      </c>
    </row>
    <row r="10" spans="1:24" x14ac:dyDescent="0.2">
      <c r="A10" t="s">
        <v>28</v>
      </c>
      <c r="B10" t="s">
        <v>29</v>
      </c>
      <c r="C10" t="s">
        <v>34</v>
      </c>
      <c r="D10">
        <v>73</v>
      </c>
      <c r="E10">
        <v>25</v>
      </c>
      <c r="F10">
        <v>27</v>
      </c>
      <c r="H10" t="s">
        <v>35</v>
      </c>
      <c r="I10">
        <v>73</v>
      </c>
      <c r="J10">
        <v>25</v>
      </c>
      <c r="M10" t="s">
        <v>32</v>
      </c>
      <c r="O10">
        <v>0</v>
      </c>
      <c r="P10">
        <v>0</v>
      </c>
      <c r="Q10">
        <v>0</v>
      </c>
      <c r="R10">
        <v>0</v>
      </c>
    </row>
    <row r="11" spans="1:24" ht="23" x14ac:dyDescent="0.25">
      <c r="A11" t="s">
        <v>28</v>
      </c>
      <c r="B11" t="s">
        <v>29</v>
      </c>
      <c r="C11" t="s">
        <v>34</v>
      </c>
      <c r="D11">
        <v>72</v>
      </c>
      <c r="E11">
        <v>25</v>
      </c>
      <c r="F11">
        <v>26</v>
      </c>
      <c r="H11" t="s">
        <v>35</v>
      </c>
      <c r="I11">
        <v>72</v>
      </c>
      <c r="J11">
        <v>25</v>
      </c>
      <c r="M11" t="s">
        <v>32</v>
      </c>
      <c r="O11">
        <v>0</v>
      </c>
      <c r="P11">
        <v>0</v>
      </c>
      <c r="Q11">
        <v>0</v>
      </c>
      <c r="R11">
        <v>0</v>
      </c>
      <c r="U11" s="5" t="s">
        <v>66</v>
      </c>
    </row>
    <row r="12" spans="1:24" x14ac:dyDescent="0.2">
      <c r="A12" t="s">
        <v>28</v>
      </c>
      <c r="B12" t="s">
        <v>29</v>
      </c>
      <c r="C12" t="s">
        <v>30</v>
      </c>
      <c r="D12">
        <v>70</v>
      </c>
      <c r="E12">
        <v>25</v>
      </c>
      <c r="F12">
        <v>38</v>
      </c>
      <c r="H12" t="s">
        <v>35</v>
      </c>
      <c r="I12">
        <v>70</v>
      </c>
      <c r="J12">
        <v>25</v>
      </c>
      <c r="M12" t="s">
        <v>32</v>
      </c>
      <c r="O12">
        <v>0</v>
      </c>
      <c r="P12">
        <v>0</v>
      </c>
      <c r="Q12">
        <v>0</v>
      </c>
      <c r="R12">
        <v>0</v>
      </c>
    </row>
    <row r="13" spans="1:24" ht="17" x14ac:dyDescent="0.2">
      <c r="A13" t="s">
        <v>28</v>
      </c>
      <c r="B13" t="s">
        <v>29</v>
      </c>
      <c r="C13" t="s">
        <v>30</v>
      </c>
      <c r="D13">
        <v>69</v>
      </c>
      <c r="E13">
        <v>25</v>
      </c>
      <c r="F13">
        <v>30</v>
      </c>
      <c r="H13" t="s">
        <v>35</v>
      </c>
      <c r="I13">
        <v>69</v>
      </c>
      <c r="J13">
        <v>25</v>
      </c>
      <c r="M13" t="s">
        <v>32</v>
      </c>
      <c r="O13">
        <v>0</v>
      </c>
      <c r="P13">
        <v>0</v>
      </c>
      <c r="Q13">
        <v>0</v>
      </c>
      <c r="R13">
        <v>0</v>
      </c>
      <c r="U13" s="2" t="s">
        <v>67</v>
      </c>
    </row>
    <row r="14" spans="1:24" ht="17" x14ac:dyDescent="0.2">
      <c r="A14" t="s">
        <v>28</v>
      </c>
      <c r="B14" t="s">
        <v>29</v>
      </c>
      <c r="C14" t="s">
        <v>30</v>
      </c>
      <c r="D14">
        <v>50</v>
      </c>
      <c r="E14">
        <v>18</v>
      </c>
      <c r="F14">
        <v>57</v>
      </c>
      <c r="H14" t="s">
        <v>31</v>
      </c>
      <c r="I14">
        <v>69</v>
      </c>
      <c r="J14">
        <v>21</v>
      </c>
      <c r="K14">
        <v>38</v>
      </c>
      <c r="M14" t="s">
        <v>32</v>
      </c>
      <c r="N14" t="s">
        <v>36</v>
      </c>
      <c r="O14">
        <v>-19</v>
      </c>
      <c r="P14">
        <v>-3</v>
      </c>
      <c r="Q14">
        <v>-27.536231879999999</v>
      </c>
      <c r="R14">
        <v>-14.28571429</v>
      </c>
      <c r="U14" s="2" t="s">
        <v>68</v>
      </c>
    </row>
    <row r="15" spans="1:24" ht="17" x14ac:dyDescent="0.2">
      <c r="A15" t="s">
        <v>28</v>
      </c>
      <c r="B15" t="s">
        <v>29</v>
      </c>
      <c r="C15" t="s">
        <v>30</v>
      </c>
      <c r="D15">
        <v>50</v>
      </c>
      <c r="E15">
        <v>18</v>
      </c>
      <c r="F15">
        <v>57</v>
      </c>
      <c r="H15" t="s">
        <v>37</v>
      </c>
      <c r="I15">
        <v>28</v>
      </c>
      <c r="J15">
        <v>10</v>
      </c>
      <c r="K15">
        <v>11</v>
      </c>
      <c r="M15" t="s">
        <v>32</v>
      </c>
      <c r="N15" t="s">
        <v>36</v>
      </c>
      <c r="O15">
        <v>22</v>
      </c>
      <c r="P15">
        <v>8</v>
      </c>
      <c r="Q15">
        <v>78.571428569999995</v>
      </c>
      <c r="R15">
        <v>80</v>
      </c>
      <c r="U15" s="2" t="s">
        <v>69</v>
      </c>
    </row>
    <row r="16" spans="1:24" x14ac:dyDescent="0.2">
      <c r="A16" t="s">
        <v>28</v>
      </c>
      <c r="B16" t="s">
        <v>29</v>
      </c>
      <c r="C16" t="s">
        <v>38</v>
      </c>
      <c r="D16">
        <v>72</v>
      </c>
      <c r="E16">
        <v>25</v>
      </c>
      <c r="F16">
        <v>29</v>
      </c>
      <c r="H16" t="s">
        <v>31</v>
      </c>
      <c r="I16">
        <v>76</v>
      </c>
      <c r="J16">
        <v>26</v>
      </c>
      <c r="K16">
        <v>9</v>
      </c>
      <c r="M16" t="s">
        <v>32</v>
      </c>
      <c r="O16">
        <v>-4</v>
      </c>
      <c r="P16">
        <v>-1</v>
      </c>
      <c r="Q16">
        <v>-5.263157895</v>
      </c>
      <c r="R16">
        <v>-3.846153846</v>
      </c>
    </row>
    <row r="17" spans="1:21" x14ac:dyDescent="0.2">
      <c r="A17" t="s">
        <v>28</v>
      </c>
      <c r="B17" t="s">
        <v>29</v>
      </c>
      <c r="C17" t="s">
        <v>38</v>
      </c>
      <c r="D17">
        <v>74</v>
      </c>
      <c r="E17">
        <v>25</v>
      </c>
      <c r="F17">
        <v>34</v>
      </c>
      <c r="H17" t="s">
        <v>31</v>
      </c>
      <c r="I17">
        <v>75</v>
      </c>
      <c r="J17">
        <v>25</v>
      </c>
      <c r="K17">
        <v>7</v>
      </c>
      <c r="M17" t="s">
        <v>32</v>
      </c>
      <c r="O17">
        <v>-1</v>
      </c>
      <c r="P17">
        <v>0</v>
      </c>
      <c r="Q17">
        <v>-1.3333333329999999</v>
      </c>
      <c r="R17">
        <v>0</v>
      </c>
    </row>
    <row r="18" spans="1:21" ht="23" x14ac:dyDescent="0.25">
      <c r="A18" t="s">
        <v>28</v>
      </c>
      <c r="B18" t="s">
        <v>29</v>
      </c>
      <c r="C18" t="s">
        <v>38</v>
      </c>
      <c r="D18">
        <v>72</v>
      </c>
      <c r="E18">
        <v>25</v>
      </c>
      <c r="F18">
        <v>24</v>
      </c>
      <c r="H18" t="s">
        <v>31</v>
      </c>
      <c r="I18">
        <v>75</v>
      </c>
      <c r="J18">
        <v>25</v>
      </c>
      <c r="K18">
        <v>9</v>
      </c>
      <c r="M18" t="s">
        <v>32</v>
      </c>
      <c r="O18">
        <v>-3</v>
      </c>
      <c r="P18">
        <v>0</v>
      </c>
      <c r="Q18">
        <v>-4</v>
      </c>
      <c r="R18">
        <v>0</v>
      </c>
      <c r="U18" s="5" t="s">
        <v>70</v>
      </c>
    </row>
    <row r="19" spans="1:21" x14ac:dyDescent="0.2">
      <c r="A19" t="s">
        <v>28</v>
      </c>
      <c r="B19" t="s">
        <v>29</v>
      </c>
      <c r="C19" t="s">
        <v>38</v>
      </c>
      <c r="D19">
        <v>71</v>
      </c>
      <c r="E19">
        <v>25</v>
      </c>
      <c r="F19">
        <v>22</v>
      </c>
      <c r="H19" t="s">
        <v>37</v>
      </c>
      <c r="I19">
        <v>73</v>
      </c>
      <c r="J19">
        <v>24</v>
      </c>
      <c r="K19">
        <v>6</v>
      </c>
      <c r="M19" t="s">
        <v>32</v>
      </c>
      <c r="O19">
        <v>-2</v>
      </c>
      <c r="P19">
        <v>1</v>
      </c>
      <c r="Q19">
        <v>-2.7397260270000001</v>
      </c>
      <c r="R19">
        <v>4.1666666670000003</v>
      </c>
    </row>
    <row r="20" spans="1:21" ht="17" x14ac:dyDescent="0.2">
      <c r="A20" t="s">
        <v>28</v>
      </c>
      <c r="B20" t="s">
        <v>29</v>
      </c>
      <c r="C20" t="s">
        <v>38</v>
      </c>
      <c r="D20">
        <v>75</v>
      </c>
      <c r="E20">
        <v>25</v>
      </c>
      <c r="F20">
        <v>24</v>
      </c>
      <c r="H20" t="s">
        <v>37</v>
      </c>
      <c r="I20">
        <v>73</v>
      </c>
      <c r="J20">
        <v>24</v>
      </c>
      <c r="K20">
        <v>6</v>
      </c>
      <c r="M20" t="s">
        <v>32</v>
      </c>
      <c r="O20">
        <v>2</v>
      </c>
      <c r="P20">
        <v>1</v>
      </c>
      <c r="Q20">
        <v>2.7397260270000001</v>
      </c>
      <c r="R20">
        <v>4.1666666670000003</v>
      </c>
      <c r="U20" s="1" t="s">
        <v>71</v>
      </c>
    </row>
    <row r="21" spans="1:21" ht="17" x14ac:dyDescent="0.2">
      <c r="A21" t="s">
        <v>28</v>
      </c>
      <c r="B21" t="s">
        <v>29</v>
      </c>
      <c r="C21" t="s">
        <v>38</v>
      </c>
      <c r="D21">
        <v>75</v>
      </c>
      <c r="E21">
        <v>25</v>
      </c>
      <c r="F21">
        <v>23</v>
      </c>
      <c r="H21" t="s">
        <v>37</v>
      </c>
      <c r="I21">
        <v>74</v>
      </c>
      <c r="J21">
        <v>25</v>
      </c>
      <c r="K21">
        <v>7</v>
      </c>
      <c r="M21" t="s">
        <v>32</v>
      </c>
      <c r="O21">
        <v>1</v>
      </c>
      <c r="P21">
        <v>0</v>
      </c>
      <c r="Q21">
        <v>1.3513513509999999</v>
      </c>
      <c r="R21">
        <v>0</v>
      </c>
      <c r="U21" s="1" t="s">
        <v>72</v>
      </c>
    </row>
    <row r="22" spans="1:21" ht="17" x14ac:dyDescent="0.2">
      <c r="A22" t="s">
        <v>28</v>
      </c>
      <c r="B22" t="s">
        <v>29</v>
      </c>
      <c r="C22" t="s">
        <v>38</v>
      </c>
      <c r="D22">
        <v>70</v>
      </c>
      <c r="E22">
        <v>23</v>
      </c>
      <c r="F22">
        <v>39</v>
      </c>
      <c r="H22" t="s">
        <v>37</v>
      </c>
      <c r="I22">
        <v>40</v>
      </c>
      <c r="J22">
        <v>24</v>
      </c>
      <c r="K22">
        <v>7</v>
      </c>
      <c r="M22" t="s">
        <v>32</v>
      </c>
      <c r="O22">
        <v>30</v>
      </c>
      <c r="P22">
        <v>-1</v>
      </c>
      <c r="Q22">
        <v>75</v>
      </c>
      <c r="R22">
        <v>-4.1666666670000003</v>
      </c>
      <c r="U22" s="1" t="s">
        <v>73</v>
      </c>
    </row>
    <row r="23" spans="1:21" x14ac:dyDescent="0.2">
      <c r="A23" t="s">
        <v>28</v>
      </c>
      <c r="B23" t="s">
        <v>29</v>
      </c>
      <c r="C23" t="s">
        <v>38</v>
      </c>
      <c r="D23">
        <v>74</v>
      </c>
      <c r="E23">
        <v>24</v>
      </c>
      <c r="F23">
        <v>27</v>
      </c>
      <c r="H23" t="s">
        <v>37</v>
      </c>
      <c r="I23">
        <v>74</v>
      </c>
      <c r="J23">
        <v>25</v>
      </c>
      <c r="K23">
        <v>6</v>
      </c>
      <c r="M23" t="s">
        <v>32</v>
      </c>
      <c r="O23">
        <v>0</v>
      </c>
      <c r="P23">
        <v>-1</v>
      </c>
      <c r="Q23">
        <v>0</v>
      </c>
      <c r="R23">
        <v>-4</v>
      </c>
    </row>
    <row r="24" spans="1:21" ht="23" x14ac:dyDescent="0.25">
      <c r="A24" t="s">
        <v>28</v>
      </c>
      <c r="B24" t="s">
        <v>29</v>
      </c>
      <c r="C24" t="s">
        <v>38</v>
      </c>
      <c r="D24">
        <v>75</v>
      </c>
      <c r="E24">
        <v>25</v>
      </c>
      <c r="F24">
        <v>29</v>
      </c>
      <c r="H24" t="s">
        <v>35</v>
      </c>
      <c r="I24">
        <v>75</v>
      </c>
      <c r="J24">
        <v>25</v>
      </c>
      <c r="M24" t="s">
        <v>32</v>
      </c>
      <c r="O24">
        <v>0</v>
      </c>
      <c r="P24">
        <v>0</v>
      </c>
      <c r="Q24">
        <v>0</v>
      </c>
      <c r="R24">
        <v>0</v>
      </c>
      <c r="U24" s="5" t="s">
        <v>74</v>
      </c>
    </row>
    <row r="25" spans="1:21" x14ac:dyDescent="0.2">
      <c r="A25" t="s">
        <v>39</v>
      </c>
      <c r="B25" t="s">
        <v>19</v>
      </c>
      <c r="D25">
        <v>48.9</v>
      </c>
      <c r="E25">
        <v>28.1</v>
      </c>
      <c r="F25">
        <v>52.6</v>
      </c>
      <c r="H25" t="s">
        <v>37</v>
      </c>
      <c r="I25">
        <v>52.1</v>
      </c>
      <c r="J25">
        <v>27.6</v>
      </c>
      <c r="K25">
        <v>24.7</v>
      </c>
      <c r="M25" t="s">
        <v>40</v>
      </c>
      <c r="O25">
        <v>-3.2</v>
      </c>
      <c r="P25">
        <v>0.5</v>
      </c>
      <c r="Q25">
        <v>-6.1420345489999999</v>
      </c>
      <c r="R25">
        <v>1.8115942030000001</v>
      </c>
    </row>
    <row r="26" spans="1:21" ht="17" x14ac:dyDescent="0.2">
      <c r="A26" t="s">
        <v>41</v>
      </c>
      <c r="B26" t="s">
        <v>42</v>
      </c>
      <c r="C26" t="s">
        <v>34</v>
      </c>
      <c r="D26">
        <v>75.3</v>
      </c>
      <c r="E26">
        <v>121</v>
      </c>
      <c r="F26">
        <v>28.9</v>
      </c>
      <c r="H26" t="s">
        <v>37</v>
      </c>
      <c r="I26">
        <v>301</v>
      </c>
      <c r="J26">
        <v>269</v>
      </c>
      <c r="K26">
        <v>4.96</v>
      </c>
      <c r="M26" t="s">
        <v>40</v>
      </c>
      <c r="O26">
        <v>-225.7</v>
      </c>
      <c r="P26">
        <v>-148</v>
      </c>
      <c r="Q26">
        <v>-74.983388700000006</v>
      </c>
      <c r="R26">
        <v>-55.018587359999998</v>
      </c>
      <c r="U26" s="2" t="s">
        <v>75</v>
      </c>
    </row>
    <row r="27" spans="1:21" x14ac:dyDescent="0.2">
      <c r="A27" t="s">
        <v>41</v>
      </c>
      <c r="B27" t="s">
        <v>42</v>
      </c>
      <c r="C27" t="s">
        <v>34</v>
      </c>
      <c r="D27">
        <v>75.3</v>
      </c>
      <c r="E27">
        <v>121</v>
      </c>
      <c r="F27">
        <v>28.9</v>
      </c>
      <c r="H27" t="s">
        <v>33</v>
      </c>
      <c r="I27">
        <v>201.18</v>
      </c>
      <c r="J27">
        <v>94.22</v>
      </c>
      <c r="M27" t="s">
        <v>40</v>
      </c>
      <c r="O27">
        <v>-125.88</v>
      </c>
      <c r="P27">
        <v>26.78</v>
      </c>
      <c r="Q27">
        <v>-62.570832090000003</v>
      </c>
      <c r="R27">
        <v>28.42284016</v>
      </c>
    </row>
    <row r="28" spans="1:21" ht="17" x14ac:dyDescent="0.2">
      <c r="A28" t="s">
        <v>43</v>
      </c>
      <c r="B28" t="s">
        <v>19</v>
      </c>
      <c r="C28" t="s">
        <v>44</v>
      </c>
      <c r="D28">
        <v>4.32</v>
      </c>
      <c r="E28">
        <v>46.9</v>
      </c>
      <c r="F28">
        <v>49.4</v>
      </c>
      <c r="H28" t="s">
        <v>37</v>
      </c>
      <c r="I28">
        <v>117</v>
      </c>
      <c r="J28">
        <v>27.8</v>
      </c>
      <c r="K28">
        <v>31.1</v>
      </c>
      <c r="M28" t="s">
        <v>40</v>
      </c>
      <c r="O28">
        <v>-112.68</v>
      </c>
      <c r="P28">
        <v>19.100000000000001</v>
      </c>
      <c r="Q28">
        <v>-96.307692309999993</v>
      </c>
      <c r="R28">
        <v>68.705035969999997</v>
      </c>
      <c r="U28" s="2" t="s">
        <v>77</v>
      </c>
    </row>
    <row r="29" spans="1:21" ht="17" x14ac:dyDescent="0.2">
      <c r="A29" t="s">
        <v>43</v>
      </c>
      <c r="B29" t="s">
        <v>19</v>
      </c>
      <c r="C29" t="s">
        <v>44</v>
      </c>
      <c r="D29">
        <v>4.1399999999999997</v>
      </c>
      <c r="E29">
        <v>47.5</v>
      </c>
      <c r="F29">
        <v>49.8</v>
      </c>
      <c r="H29" t="s">
        <v>33</v>
      </c>
      <c r="I29">
        <v>15.31</v>
      </c>
      <c r="J29">
        <v>23.18</v>
      </c>
      <c r="M29" t="s">
        <v>40</v>
      </c>
      <c r="O29">
        <v>-11.17</v>
      </c>
      <c r="P29">
        <v>24.32</v>
      </c>
      <c r="Q29">
        <v>-72.958850420000005</v>
      </c>
      <c r="R29">
        <v>104.91803280000001</v>
      </c>
      <c r="U29" s="2" t="s">
        <v>76</v>
      </c>
    </row>
    <row r="30" spans="1:21" x14ac:dyDescent="0.2">
      <c r="A30" t="s">
        <v>45</v>
      </c>
      <c r="B30" t="s">
        <v>46</v>
      </c>
      <c r="D30">
        <v>173</v>
      </c>
      <c r="E30">
        <v>24.9</v>
      </c>
      <c r="F30">
        <v>48.5</v>
      </c>
      <c r="H30" t="s">
        <v>37</v>
      </c>
      <c r="I30">
        <v>204</v>
      </c>
      <c r="J30">
        <v>10.7</v>
      </c>
      <c r="K30">
        <v>22.7</v>
      </c>
      <c r="M30" t="s">
        <v>40</v>
      </c>
      <c r="O30">
        <v>-31</v>
      </c>
      <c r="P30">
        <v>14.2</v>
      </c>
      <c r="Q30">
        <v>-15.19607843</v>
      </c>
      <c r="R30">
        <v>132.71028039999999</v>
      </c>
    </row>
    <row r="31" spans="1:21" x14ac:dyDescent="0.2">
      <c r="A31" t="s">
        <v>45</v>
      </c>
      <c r="B31" t="s">
        <v>46</v>
      </c>
      <c r="D31">
        <v>173</v>
      </c>
      <c r="E31">
        <v>24.9</v>
      </c>
      <c r="F31">
        <v>48.5</v>
      </c>
      <c r="H31" t="s">
        <v>33</v>
      </c>
      <c r="I31">
        <v>183.72</v>
      </c>
      <c r="J31">
        <v>21.85</v>
      </c>
      <c r="M31" t="s">
        <v>40</v>
      </c>
      <c r="O31">
        <v>-10.72</v>
      </c>
      <c r="P31">
        <v>3.05</v>
      </c>
      <c r="Q31">
        <v>-5.8349662530000002</v>
      </c>
      <c r="R31">
        <v>13.95881007</v>
      </c>
    </row>
    <row r="32" spans="1:21" x14ac:dyDescent="0.2">
      <c r="A32" t="s">
        <v>39</v>
      </c>
      <c r="B32" t="s">
        <v>19</v>
      </c>
      <c r="D32">
        <v>264</v>
      </c>
      <c r="E32">
        <v>52.4</v>
      </c>
      <c r="F32">
        <v>113</v>
      </c>
      <c r="H32" t="s">
        <v>37</v>
      </c>
      <c r="I32">
        <v>107</v>
      </c>
      <c r="J32">
        <v>25.7</v>
      </c>
      <c r="K32">
        <v>24.7</v>
      </c>
      <c r="M32" t="s">
        <v>40</v>
      </c>
      <c r="O32">
        <v>157</v>
      </c>
      <c r="P32">
        <v>26.7</v>
      </c>
      <c r="Q32">
        <v>146.728972</v>
      </c>
      <c r="R32">
        <v>103.8910506</v>
      </c>
      <c r="U32" t="s">
        <v>78</v>
      </c>
    </row>
    <row r="33" spans="1:18" x14ac:dyDescent="0.2">
      <c r="A33" t="s">
        <v>39</v>
      </c>
      <c r="B33" t="s">
        <v>19</v>
      </c>
      <c r="D33">
        <v>264</v>
      </c>
      <c r="E33">
        <v>52.4</v>
      </c>
      <c r="F33">
        <v>113</v>
      </c>
      <c r="H33" t="s">
        <v>33</v>
      </c>
      <c r="I33">
        <v>143.66999999999999</v>
      </c>
      <c r="J33">
        <v>42.24</v>
      </c>
      <c r="M33" t="s">
        <v>40</v>
      </c>
      <c r="O33">
        <v>120.33</v>
      </c>
      <c r="P33">
        <v>10.16</v>
      </c>
      <c r="Q33">
        <v>83.754437249999995</v>
      </c>
      <c r="R33">
        <v>24.0530303</v>
      </c>
    </row>
    <row r="34" spans="1:18" x14ac:dyDescent="0.2">
      <c r="A34" t="s">
        <v>47</v>
      </c>
      <c r="B34" t="s">
        <v>19</v>
      </c>
      <c r="D34">
        <v>50</v>
      </c>
      <c r="E34">
        <v>30</v>
      </c>
      <c r="F34">
        <v>60</v>
      </c>
      <c r="G34">
        <v>28</v>
      </c>
      <c r="H34" t="s">
        <v>37</v>
      </c>
      <c r="I34">
        <v>44</v>
      </c>
      <c r="J34">
        <v>4.8</v>
      </c>
      <c r="K34">
        <v>27.5</v>
      </c>
      <c r="M34" t="s">
        <v>21</v>
      </c>
      <c r="O34">
        <v>6</v>
      </c>
      <c r="P34">
        <v>25.2</v>
      </c>
      <c r="Q34">
        <v>13.636363640000001</v>
      </c>
      <c r="R34">
        <v>525</v>
      </c>
    </row>
    <row r="35" spans="1:18" x14ac:dyDescent="0.2">
      <c r="A35" t="s">
        <v>47</v>
      </c>
      <c r="B35" t="s">
        <v>19</v>
      </c>
      <c r="D35">
        <v>44.5</v>
      </c>
      <c r="E35">
        <v>14.8</v>
      </c>
      <c r="F35">
        <v>60</v>
      </c>
      <c r="G35">
        <v>29.6</v>
      </c>
      <c r="H35" t="s">
        <v>37</v>
      </c>
      <c r="I35">
        <v>67.3</v>
      </c>
      <c r="J35">
        <v>5.89</v>
      </c>
      <c r="K35">
        <v>2</v>
      </c>
      <c r="M35" t="s">
        <v>21</v>
      </c>
      <c r="O35">
        <v>-22.8</v>
      </c>
      <c r="P35">
        <v>8.91</v>
      </c>
      <c r="Q35">
        <v>-33.8781575</v>
      </c>
      <c r="R35">
        <v>151.2733447</v>
      </c>
    </row>
    <row r="36" spans="1:18" x14ac:dyDescent="0.2">
      <c r="A36" t="s">
        <v>48</v>
      </c>
      <c r="B36" t="s">
        <v>24</v>
      </c>
      <c r="C36" t="s">
        <v>44</v>
      </c>
      <c r="D36">
        <v>289</v>
      </c>
      <c r="E36">
        <v>249</v>
      </c>
      <c r="F36">
        <v>23.6</v>
      </c>
      <c r="G36">
        <v>17.3</v>
      </c>
      <c r="H36" t="s">
        <v>49</v>
      </c>
      <c r="I36">
        <v>245.5</v>
      </c>
      <c r="J36">
        <v>251.26</v>
      </c>
      <c r="K36">
        <v>3</v>
      </c>
      <c r="M36" t="s">
        <v>50</v>
      </c>
      <c r="O36">
        <v>43.5</v>
      </c>
      <c r="P36">
        <v>-2.2599999999999998</v>
      </c>
      <c r="Q36">
        <v>17.71894094</v>
      </c>
      <c r="R36">
        <v>-0.89946668799999996</v>
      </c>
    </row>
    <row r="37" spans="1:18" x14ac:dyDescent="0.2">
      <c r="A37" t="s">
        <v>48</v>
      </c>
      <c r="B37" t="s">
        <v>24</v>
      </c>
      <c r="C37" t="s">
        <v>44</v>
      </c>
      <c r="D37">
        <v>289</v>
      </c>
      <c r="E37">
        <v>249</v>
      </c>
      <c r="F37">
        <v>23.6</v>
      </c>
      <c r="G37">
        <v>17.3</v>
      </c>
      <c r="H37" t="s">
        <v>37</v>
      </c>
      <c r="I37">
        <v>253</v>
      </c>
      <c r="J37">
        <v>251</v>
      </c>
      <c r="K37">
        <v>2.52</v>
      </c>
      <c r="M37" t="s">
        <v>50</v>
      </c>
      <c r="O37">
        <v>36</v>
      </c>
      <c r="P37">
        <v>-2</v>
      </c>
      <c r="Q37">
        <v>14.22924901</v>
      </c>
      <c r="R37">
        <v>-0.79681274899999999</v>
      </c>
    </row>
    <row r="38" spans="1:18" x14ac:dyDescent="0.2">
      <c r="A38" t="s">
        <v>47</v>
      </c>
      <c r="B38" t="s">
        <v>19</v>
      </c>
      <c r="D38">
        <v>94.1</v>
      </c>
      <c r="E38">
        <v>26.1</v>
      </c>
      <c r="F38">
        <v>58.6</v>
      </c>
      <c r="G38">
        <v>10.5</v>
      </c>
      <c r="H38" t="s">
        <v>37</v>
      </c>
      <c r="I38">
        <v>64.2</v>
      </c>
      <c r="J38">
        <v>15.3</v>
      </c>
      <c r="K38">
        <v>24</v>
      </c>
      <c r="M38" t="s">
        <v>21</v>
      </c>
      <c r="O38">
        <v>29.9</v>
      </c>
      <c r="P38">
        <v>10.8</v>
      </c>
      <c r="Q38">
        <v>46.573208719999997</v>
      </c>
      <c r="R38">
        <v>70.58823529</v>
      </c>
    </row>
    <row r="39" spans="1:18" x14ac:dyDescent="0.2">
      <c r="A39" t="s">
        <v>47</v>
      </c>
      <c r="B39" t="s">
        <v>19</v>
      </c>
      <c r="D39">
        <v>87.7</v>
      </c>
      <c r="E39">
        <v>20.6</v>
      </c>
      <c r="F39">
        <v>63.9</v>
      </c>
      <c r="G39">
        <v>20.6</v>
      </c>
      <c r="H39" t="s">
        <v>37</v>
      </c>
      <c r="I39">
        <v>70</v>
      </c>
      <c r="J39">
        <v>15.1</v>
      </c>
      <c r="K39">
        <v>24.1</v>
      </c>
      <c r="M39" t="s">
        <v>21</v>
      </c>
      <c r="O39">
        <v>17.7</v>
      </c>
      <c r="P39">
        <v>5.5</v>
      </c>
      <c r="Q39">
        <v>25.285714290000001</v>
      </c>
      <c r="R39">
        <v>36.423841060000001</v>
      </c>
    </row>
    <row r="40" spans="1:18" x14ac:dyDescent="0.2">
      <c r="A40" t="s">
        <v>51</v>
      </c>
      <c r="B40" t="s">
        <v>29</v>
      </c>
      <c r="D40">
        <v>365</v>
      </c>
      <c r="E40">
        <v>455</v>
      </c>
      <c r="F40">
        <v>26.2</v>
      </c>
      <c r="G40">
        <v>5.68</v>
      </c>
      <c r="H40" t="s">
        <v>37</v>
      </c>
      <c r="I40">
        <v>461</v>
      </c>
      <c r="J40">
        <v>517</v>
      </c>
      <c r="K40">
        <v>7.06</v>
      </c>
      <c r="M40" t="s">
        <v>52</v>
      </c>
      <c r="O40">
        <v>-96</v>
      </c>
      <c r="P40">
        <v>-62</v>
      </c>
      <c r="Q40">
        <v>-20.82429501</v>
      </c>
      <c r="R40">
        <v>-11.992263060000001</v>
      </c>
    </row>
    <row r="41" spans="1:18" x14ac:dyDescent="0.2">
      <c r="A41" t="s">
        <v>53</v>
      </c>
      <c r="B41" t="s">
        <v>24</v>
      </c>
      <c r="D41">
        <v>263</v>
      </c>
      <c r="E41">
        <v>499</v>
      </c>
      <c r="F41">
        <v>27.3</v>
      </c>
      <c r="G41">
        <v>17</v>
      </c>
      <c r="H41" t="s">
        <v>37</v>
      </c>
      <c r="I41">
        <v>251</v>
      </c>
      <c r="J41">
        <v>344</v>
      </c>
      <c r="K41">
        <v>4.88</v>
      </c>
      <c r="M41" t="s">
        <v>54</v>
      </c>
      <c r="O41">
        <v>12</v>
      </c>
      <c r="P41">
        <v>155</v>
      </c>
      <c r="Q41">
        <v>4.7808764940000001</v>
      </c>
      <c r="R41">
        <v>45.058139529999998</v>
      </c>
    </row>
    <row r="42" spans="1:18" x14ac:dyDescent="0.2">
      <c r="A42" t="s">
        <v>53</v>
      </c>
      <c r="B42" t="s">
        <v>24</v>
      </c>
      <c r="D42">
        <v>263</v>
      </c>
      <c r="E42">
        <v>499</v>
      </c>
      <c r="F42">
        <v>27.3</v>
      </c>
      <c r="G42">
        <v>17</v>
      </c>
      <c r="H42" t="s">
        <v>49</v>
      </c>
      <c r="I42">
        <v>301.52999999999997</v>
      </c>
      <c r="J42">
        <v>429.79</v>
      </c>
      <c r="K42">
        <v>10</v>
      </c>
      <c r="M42" t="s">
        <v>54</v>
      </c>
      <c r="O42">
        <v>-38.53</v>
      </c>
      <c r="P42">
        <v>69.209999999999994</v>
      </c>
      <c r="Q42">
        <v>-12.778164690000001</v>
      </c>
      <c r="R42">
        <v>16.103213199999999</v>
      </c>
    </row>
    <row r="43" spans="1:18" x14ac:dyDescent="0.2">
      <c r="A43" t="s">
        <v>53</v>
      </c>
      <c r="B43" t="s">
        <v>24</v>
      </c>
      <c r="D43">
        <v>263</v>
      </c>
      <c r="E43">
        <v>499</v>
      </c>
      <c r="F43">
        <v>27.3</v>
      </c>
      <c r="G43">
        <v>17</v>
      </c>
      <c r="H43" t="s">
        <v>33</v>
      </c>
      <c r="I43">
        <v>236</v>
      </c>
      <c r="J43">
        <v>535.58000000000004</v>
      </c>
      <c r="M43" t="s">
        <v>54</v>
      </c>
      <c r="O43">
        <v>27</v>
      </c>
      <c r="P43">
        <v>-36.58</v>
      </c>
      <c r="Q43">
        <v>11.440677969999999</v>
      </c>
      <c r="R43">
        <v>-6.8299787150000002</v>
      </c>
    </row>
    <row r="44" spans="1:18" x14ac:dyDescent="0.2">
      <c r="A44" t="s">
        <v>55</v>
      </c>
      <c r="B44" t="s">
        <v>29</v>
      </c>
      <c r="C44" t="s">
        <v>44</v>
      </c>
      <c r="D44">
        <v>8.44</v>
      </c>
      <c r="E44">
        <v>23.5</v>
      </c>
      <c r="F44">
        <v>37.299999999999997</v>
      </c>
      <c r="H44" t="s">
        <v>37</v>
      </c>
      <c r="I44">
        <v>58.6</v>
      </c>
      <c r="J44">
        <v>23.6</v>
      </c>
      <c r="K44">
        <v>17.2</v>
      </c>
      <c r="M44" t="s">
        <v>56</v>
      </c>
      <c r="O44">
        <v>-50.16</v>
      </c>
      <c r="P44">
        <v>-0.1</v>
      </c>
      <c r="Q44">
        <v>-85.597269620000006</v>
      </c>
      <c r="R44">
        <v>-0.42372881400000001</v>
      </c>
    </row>
    <row r="45" spans="1:18" x14ac:dyDescent="0.2">
      <c r="A45" t="s">
        <v>55</v>
      </c>
      <c r="B45" t="s">
        <v>29</v>
      </c>
      <c r="C45" t="s">
        <v>44</v>
      </c>
      <c r="D45">
        <v>6.52</v>
      </c>
      <c r="E45">
        <v>23.6</v>
      </c>
      <c r="F45">
        <v>39.1</v>
      </c>
      <c r="H45" t="s">
        <v>37</v>
      </c>
      <c r="I45">
        <v>50.7</v>
      </c>
      <c r="J45">
        <v>23.2</v>
      </c>
      <c r="K45">
        <v>18.399999999999999</v>
      </c>
      <c r="M45" t="s">
        <v>56</v>
      </c>
      <c r="O45">
        <v>-44.18</v>
      </c>
      <c r="P45">
        <v>0.4</v>
      </c>
      <c r="Q45">
        <v>-87.140039450000003</v>
      </c>
      <c r="R45">
        <v>1.724137931</v>
      </c>
    </row>
    <row r="46" spans="1:18" x14ac:dyDescent="0.2">
      <c r="A46" t="s">
        <v>57</v>
      </c>
      <c r="B46" t="s">
        <v>29</v>
      </c>
      <c r="D46">
        <v>72.099999999999994</v>
      </c>
      <c r="E46">
        <v>24.9</v>
      </c>
      <c r="F46">
        <v>40.200000000000003</v>
      </c>
      <c r="H46" t="s">
        <v>37</v>
      </c>
      <c r="I46">
        <v>63.2</v>
      </c>
      <c r="J46">
        <v>24.9</v>
      </c>
      <c r="K46">
        <v>12.5</v>
      </c>
      <c r="M46" t="s">
        <v>56</v>
      </c>
      <c r="O46">
        <v>8.9</v>
      </c>
      <c r="P46">
        <v>0</v>
      </c>
      <c r="Q46">
        <v>14.082278479999999</v>
      </c>
      <c r="R46">
        <v>0</v>
      </c>
    </row>
    <row r="47" spans="1:18" x14ac:dyDescent="0.2">
      <c r="A47" t="s">
        <v>55</v>
      </c>
      <c r="B47" t="s">
        <v>29</v>
      </c>
      <c r="C47" t="s">
        <v>44</v>
      </c>
      <c r="D47">
        <v>6.88</v>
      </c>
      <c r="E47">
        <v>23.3</v>
      </c>
      <c r="F47">
        <v>34</v>
      </c>
      <c r="H47" t="s">
        <v>37</v>
      </c>
      <c r="I47">
        <v>53.3</v>
      </c>
      <c r="J47">
        <v>23.6</v>
      </c>
      <c r="K47">
        <v>15.9</v>
      </c>
      <c r="M47" t="s">
        <v>56</v>
      </c>
      <c r="O47">
        <v>-46.42</v>
      </c>
      <c r="P47">
        <v>-0.3</v>
      </c>
      <c r="Q47">
        <v>-87.091932459999995</v>
      </c>
      <c r="R47">
        <v>-1.271186441</v>
      </c>
    </row>
    <row r="48" spans="1:18" x14ac:dyDescent="0.2">
      <c r="A48" t="s">
        <v>58</v>
      </c>
      <c r="B48" t="s">
        <v>19</v>
      </c>
      <c r="C48" t="s">
        <v>44</v>
      </c>
      <c r="D48">
        <v>52</v>
      </c>
      <c r="E48">
        <v>27.3</v>
      </c>
      <c r="F48">
        <v>52</v>
      </c>
      <c r="H48" t="s">
        <v>37</v>
      </c>
      <c r="I48">
        <v>59.9</v>
      </c>
      <c r="J48">
        <v>14.9</v>
      </c>
      <c r="K48">
        <v>26</v>
      </c>
      <c r="M48" t="s">
        <v>21</v>
      </c>
      <c r="O48">
        <v>-7.9</v>
      </c>
      <c r="P48">
        <v>12.4</v>
      </c>
      <c r="Q48">
        <v>-13.188647749999999</v>
      </c>
      <c r="R48">
        <v>83.221476510000002</v>
      </c>
    </row>
    <row r="49" spans="1:18" x14ac:dyDescent="0.2">
      <c r="A49" t="s">
        <v>58</v>
      </c>
      <c r="B49" t="s">
        <v>19</v>
      </c>
      <c r="C49" t="s">
        <v>44</v>
      </c>
      <c r="D49">
        <v>52</v>
      </c>
      <c r="E49">
        <v>27.3</v>
      </c>
      <c r="F49">
        <v>52</v>
      </c>
      <c r="H49" t="s">
        <v>49</v>
      </c>
      <c r="I49">
        <v>69.099999999999994</v>
      </c>
      <c r="J49">
        <v>17.59</v>
      </c>
      <c r="K49">
        <v>26.2</v>
      </c>
      <c r="M49" t="s">
        <v>21</v>
      </c>
      <c r="O49">
        <v>-17.100000000000001</v>
      </c>
      <c r="P49">
        <v>9.7100000000000009</v>
      </c>
      <c r="Q49">
        <v>-24.746743850000001</v>
      </c>
      <c r="R49">
        <v>55.201819219999997</v>
      </c>
    </row>
    <row r="51" spans="1:18" x14ac:dyDescent="0.2">
      <c r="L51" t="s">
        <v>59</v>
      </c>
      <c r="O51">
        <v>32.266458329999999</v>
      </c>
      <c r="P51">
        <v>17.74625</v>
      </c>
    </row>
    <row r="52" spans="1:18" x14ac:dyDescent="0.2">
      <c r="L52" t="s">
        <v>60</v>
      </c>
      <c r="Q52">
        <v>14.699242419999999</v>
      </c>
      <c r="R52">
        <v>35.36252872</v>
      </c>
    </row>
  </sheetData>
  <autoFilter ref="U2:X2" xr:uid="{14B10A53-F9EA-C745-86F5-988A708901B9}">
    <sortState xmlns:xlrd2="http://schemas.microsoft.com/office/spreadsheetml/2017/richdata2" ref="U3:X6">
      <sortCondition descending="1" ref="V2:V6"/>
    </sortState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speedtest_cleaned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Tomáš Protiva</cp:lastModifiedBy>
  <dcterms:created xsi:type="dcterms:W3CDTF">2026-04-20T09:45:11Z</dcterms:created>
  <dcterms:modified xsi:type="dcterms:W3CDTF">2026-04-20T09:50:08Z</dcterms:modified>
</cp:coreProperties>
</file>